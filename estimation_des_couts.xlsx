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<sst xmlns="http://schemas.openxmlformats.org/spreadsheetml/2006/main" count="83" uniqueCount="54">
  <si>
    <t xml:space="preserve">COUTS BUILD</t>
  </si>
  <si>
    <t xml:space="preserve">OPEX</t>
  </si>
  <si>
    <t xml:space="preserve">Partie</t>
  </si>
  <si>
    <t xml:space="preserve">Sous tâche</t>
  </si>
  <si>
    <t xml:space="preserve">Estimation Haute (j)</t>
  </si>
  <si>
    <t xml:space="preserve">TJM (€)</t>
  </si>
  <si>
    <t xml:space="preserve">Coût estimé (€)</t>
  </si>
  <si>
    <t xml:space="preserve">Catégorie</t>
  </si>
  <si>
    <t xml:space="preserve">Poste</t>
  </si>
  <si>
    <t xml:space="preserve">Hypothèse</t>
  </si>
  <si>
    <t xml:space="preserve">Coût mensuel (€)</t>
  </si>
  <si>
    <t xml:space="preserve">1. Mémoire conversationnelle</t>
  </si>
  <si>
    <t xml:space="preserve">Définition des données à mémoriser</t>
  </si>
  <si>
    <t xml:space="preserve">Infrastructure AWS</t>
  </si>
  <si>
    <t xml:space="preserve">Compute</t>
  </si>
  <si>
    <t xml:space="preserve">Backend + RAG sur EC2 / ECS</t>
  </si>
  <si>
    <t xml:space="preserve">Mise en place du stockage de la mémoire utilisateur et exploitation de la mémoire dans les réponses du chatbot</t>
  </si>
  <si>
    <t xml:space="preserve">Stockage</t>
  </si>
  <si>
    <t xml:space="preserve">DB relationnelle + vecteurs</t>
  </si>
  <si>
    <t xml:space="preserve">
Gestion du cycle de vie de la mémoire</t>
  </si>
  <si>
    <t xml:space="preserve">Réseau</t>
  </si>
  <si>
    <t xml:space="preserve">Appels API + trafic sortant</t>
  </si>
  <si>
    <t xml:space="preserve">Gestion du consentement et respect RGPD</t>
  </si>
  <si>
    <t xml:space="preserve">Monitoring</t>
  </si>
  <si>
    <t xml:space="preserve">Logs + métriques</t>
  </si>
  <si>
    <t xml:space="preserve">2. Contexte Géographique</t>
  </si>
  <si>
    <t xml:space="preserve">Demande d’autorisation d’accès à la localisation utilisateur</t>
  </si>
  <si>
    <t xml:space="preserve">LLM</t>
  </si>
  <si>
    <t xml:space="preserve">Ollama on-prem</t>
  </si>
  <si>
    <t xml:space="preserve">Infra existante</t>
  </si>
  <si>
    <t xml:space="preserve">Récupération et normalisation des données de géolocalisation</t>
  </si>
  <si>
    <t xml:space="preserve">Exploitation</t>
  </si>
  <si>
    <t xml:space="preserve">Supervision</t>
  </si>
  <si>
    <t xml:space="preserve">1 j / mois</t>
  </si>
  <si>
    <t xml:space="preserve">Transmission du contexte géographique au chatbot</t>
  </si>
  <si>
    <t xml:space="preserve">Maintenance</t>
  </si>
  <si>
    <t xml:space="preserve">0,5 j / mois</t>
  </si>
  <si>
    <t xml:space="preserve">Filtrage et priorisation des événements selon la localisation</t>
  </si>
  <si>
    <t xml:space="preserve">TOTAL MENSUEL</t>
  </si>
  <si>
    <t xml:space="preserve">Gestion des cas sans localisation</t>
  </si>
  <si>
    <t xml:space="preserve">TOTAL ANNUEL</t>
  </si>
  <si>
    <t xml:space="preserve">3. Recherche Web</t>
  </si>
  <si>
    <t xml:space="preserve">Définition des besoins d’enrichissement</t>
  </si>
  <si>
    <t xml:space="preserve">Intégration d’un module de recherche web</t>
  </si>
  <si>
    <t xml:space="preserve">OPTIMISATIONS</t>
  </si>
  <si>
    <t xml:space="preserve">Mise en relation des données OpenAgenda et web</t>
  </si>
  <si>
    <t xml:space="preserve">Gestion des limites et performances</t>
  </si>
  <si>
    <t xml:space="preserve">Ollama</t>
  </si>
  <si>
    <t xml:space="preserve">4. Monitoring</t>
  </si>
  <si>
    <t xml:space="preserve">Définition des KPI</t>
  </si>
  <si>
    <t xml:space="preserve">Mise en place de la collecte d’informations</t>
  </si>
  <si>
    <t xml:space="preserve">Installation et configuration de prometheus et grafana</t>
  </si>
  <si>
    <t xml:space="preserve">Construction des dashboards et alertes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</si>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</sst>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€-40C];[RED]\-#,##0.00\ [$€-40C]"/>
    <numFmt numFmtId="166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949AB"/>
        <bgColor rgb="FF666699"/>
      </patternFill>
    </fill>
    <fill>
      <patternFill patternType="solid">
        <fgColor rgb="FF9FA8DA"/>
        <bgColor rgb="FF969696"/>
      </patternFill>
    </fill>
    <fill>
      <patternFill patternType="solid">
        <fgColor rgb="FFC5CAE9"/>
        <bgColor rgb="FFC0C0C0"/>
      </patternFill>
    </fill>
    <fill>
      <patternFill patternType="solid">
        <fgColor rgb="FFE8EAF6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A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FA8DA"/>
      <rgbColor rgb="FF993366"/>
      <rgbColor rgb="FFFFFFCC"/>
      <rgbColor rgb="FFCCFFFF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949A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K2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9" activeCellId="0" sqref="C2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48"/>
    <col collapsed="false" customWidth="true" hidden="false" outlineLevel="0" max="3" min="3" style="0" width="36.12"/>
    <col collapsed="false" customWidth="true" hidden="false" outlineLevel="0" max="4" min="4" style="0" width="19.32"/>
    <col collapsed="false" customWidth="true" hidden="false" outlineLevel="0" max="5" min="5" style="0" width="13.51"/>
    <col collapsed="false" customWidth="true" hidden="false" outlineLevel="0" max="6" min="6" style="0" width="25.4"/>
    <col collapsed="false" customWidth="true" hidden="false" outlineLevel="0" max="8" min="8" style="0" width="17.06"/>
    <col collapsed="false" customWidth="true" hidden="false" outlineLevel="0" max="10" min="10" style="0" width="23.75"/>
    <col collapsed="false" customWidth="true" hidden="false" outlineLevel="0" max="11" min="11" style="0" width="16.55"/>
  </cols>
  <sheetData>
    <row r="3" customFormat="false" ht="15" hidden="false" customHeight="false" outlineLevel="0" collapsed="false">
      <c r="B3" s="1" t="s">
        <v>0</v>
      </c>
      <c r="C3" s="1"/>
      <c r="D3" s="1"/>
      <c r="E3" s="1"/>
      <c r="F3" s="1"/>
      <c r="H3" s="1" t="s">
        <v>1</v>
      </c>
      <c r="I3" s="1"/>
      <c r="J3" s="1"/>
      <c r="K3" s="1"/>
    </row>
    <row r="4" customFormat="false" ht="12.8" hidden="false" customHeight="false" outlineLevel="0" collapsed="false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customFormat="false" ht="24.4" hidden="false" customHeight="false" outlineLevel="0" collapsed="false">
      <c r="B5" s="3" t="s">
        <v>11</v>
      </c>
      <c r="C5" s="4" t="s">
        <v>12</v>
      </c>
      <c r="D5" s="5" t="n">
        <v>2.5</v>
      </c>
      <c r="E5" s="5" t="n">
        <v>600</v>
      </c>
      <c r="F5" s="5" t="n">
        <f aca="false">D5*E5</f>
        <v>1500</v>
      </c>
      <c r="H5" s="4" t="s">
        <v>13</v>
      </c>
      <c r="I5" s="4" t="s">
        <v>14</v>
      </c>
      <c r="J5" s="6" t="s">
        <v>15</v>
      </c>
      <c r="K5" s="7" t="n">
        <v>120</v>
      </c>
    </row>
    <row r="6" customFormat="false" ht="35.95" hidden="false" customHeight="false" outlineLevel="0" collapsed="false">
      <c r="B6" s="8" t="s">
        <v>11</v>
      </c>
      <c r="C6" s="9" t="s">
        <v>16</v>
      </c>
      <c r="D6" s="10" t="n">
        <v>8.75</v>
      </c>
      <c r="E6" s="10" t="n">
        <v>600</v>
      </c>
      <c r="F6" s="10" t="n">
        <f aca="false">D6*E6</f>
        <v>5250</v>
      </c>
      <c r="H6" s="8" t="s">
        <v>13</v>
      </c>
      <c r="I6" s="9" t="s">
        <v>17</v>
      </c>
      <c r="J6" s="11" t="s">
        <v>18</v>
      </c>
      <c r="K6" s="12" t="n">
        <v>40</v>
      </c>
    </row>
    <row r="7" customFormat="false" ht="23.85" hidden="false" customHeight="false" outlineLevel="0" collapsed="false">
      <c r="B7" s="3" t="s">
        <v>11</v>
      </c>
      <c r="C7" s="4" t="s">
        <v>19</v>
      </c>
      <c r="D7" s="5" t="n">
        <v>4.5</v>
      </c>
      <c r="E7" s="5" t="n">
        <v>600</v>
      </c>
      <c r="F7" s="5" t="n">
        <f aca="false">D7*E7</f>
        <v>2700</v>
      </c>
      <c r="H7" s="4" t="s">
        <v>13</v>
      </c>
      <c r="I7" s="4" t="s">
        <v>20</v>
      </c>
      <c r="J7" s="6" t="s">
        <v>21</v>
      </c>
      <c r="K7" s="7" t="n">
        <v>30</v>
      </c>
    </row>
    <row r="8" customFormat="false" ht="23.85" hidden="false" customHeight="false" outlineLevel="0" collapsed="false">
      <c r="B8" s="8" t="s">
        <v>11</v>
      </c>
      <c r="C8" s="9" t="s">
        <v>22</v>
      </c>
      <c r="D8" s="10" t="n">
        <v>4.5</v>
      </c>
      <c r="E8" s="10" t="n">
        <v>600</v>
      </c>
      <c r="F8" s="10" t="n">
        <f aca="false">D8*E8</f>
        <v>2700</v>
      </c>
      <c r="H8" s="8" t="s">
        <v>13</v>
      </c>
      <c r="I8" s="9" t="s">
        <v>23</v>
      </c>
      <c r="J8" s="11" t="s">
        <v>24</v>
      </c>
      <c r="K8" s="12" t="n">
        <v>25</v>
      </c>
    </row>
    <row r="9" customFormat="false" ht="23.85" hidden="false" customHeight="false" outlineLevel="0" collapsed="false">
      <c r="B9" s="3" t="s">
        <v>25</v>
      </c>
      <c r="C9" s="4" t="s">
        <v>26</v>
      </c>
      <c r="D9" s="5" t="n">
        <v>1.25</v>
      </c>
      <c r="E9" s="5" t="n">
        <v>600</v>
      </c>
      <c r="F9" s="5" t="n">
        <f aca="false">D9*E9</f>
        <v>750</v>
      </c>
      <c r="H9" s="4" t="s">
        <v>27</v>
      </c>
      <c r="I9" s="4" t="s">
        <v>28</v>
      </c>
      <c r="J9" s="6" t="s">
        <v>29</v>
      </c>
      <c r="K9" s="7" t="n">
        <v>0</v>
      </c>
    </row>
    <row r="10" customFormat="false" ht="24.4" hidden="false" customHeight="false" outlineLevel="0" collapsed="false">
      <c r="B10" s="8" t="s">
        <v>25</v>
      </c>
      <c r="C10" s="9" t="s">
        <v>30</v>
      </c>
      <c r="D10" s="10" t="n">
        <v>3</v>
      </c>
      <c r="E10" s="10" t="n">
        <v>600</v>
      </c>
      <c r="F10" s="10" t="n">
        <f aca="false">D10*E10</f>
        <v>1800</v>
      </c>
      <c r="H10" s="8" t="s">
        <v>31</v>
      </c>
      <c r="I10" s="9" t="s">
        <v>32</v>
      </c>
      <c r="J10" s="11" t="s">
        <v>33</v>
      </c>
      <c r="K10" s="12" t="n">
        <v>600</v>
      </c>
    </row>
    <row r="11" customFormat="false" ht="24.4" hidden="false" customHeight="false" outlineLevel="0" collapsed="false">
      <c r="B11" s="3" t="s">
        <v>25</v>
      </c>
      <c r="C11" s="4" t="s">
        <v>34</v>
      </c>
      <c r="D11" s="5" t="n">
        <v>2.5</v>
      </c>
      <c r="E11" s="5" t="n">
        <v>600</v>
      </c>
      <c r="F11" s="5" t="n">
        <f aca="false">D11*E11</f>
        <v>1500</v>
      </c>
      <c r="H11" s="4" t="s">
        <v>31</v>
      </c>
      <c r="I11" s="4" t="s">
        <v>35</v>
      </c>
      <c r="J11" s="6" t="s">
        <v>36</v>
      </c>
      <c r="K11" s="7" t="n">
        <v>300</v>
      </c>
    </row>
    <row r="12" customFormat="false" ht="23.85" hidden="false" customHeight="false" outlineLevel="0" collapsed="false">
      <c r="B12" s="8" t="s">
        <v>25</v>
      </c>
      <c r="C12" s="9" t="s">
        <v>37</v>
      </c>
      <c r="D12" s="10" t="n">
        <v>6</v>
      </c>
      <c r="E12" s="10" t="n">
        <v>600</v>
      </c>
      <c r="F12" s="10" t="n">
        <f aca="false">D12*E12</f>
        <v>3600</v>
      </c>
      <c r="H12" s="13" t="s">
        <v>38</v>
      </c>
      <c r="I12" s="13"/>
      <c r="J12" s="13"/>
      <c r="K12" s="14" t="n">
        <f aca="false">SUM(K5:K11)</f>
        <v>1115</v>
      </c>
    </row>
    <row r="13" customFormat="false" ht="12.85" hidden="false" customHeight="false" outlineLevel="0" collapsed="false">
      <c r="B13" s="3" t="s">
        <v>25</v>
      </c>
      <c r="C13" s="4" t="s">
        <v>39</v>
      </c>
      <c r="D13" s="5" t="n">
        <v>2.5</v>
      </c>
      <c r="E13" s="5" t="n">
        <v>600</v>
      </c>
      <c r="F13" s="5" t="n">
        <f aca="false">D13*E13</f>
        <v>1500</v>
      </c>
      <c r="H13" s="13" t="s">
        <v>40</v>
      </c>
      <c r="I13" s="13"/>
      <c r="J13" s="13"/>
      <c r="K13" s="14" t="n">
        <f aca="false">K12*12</f>
        <v>13380</v>
      </c>
    </row>
    <row r="14" customFormat="false" ht="12.85" hidden="false" customHeight="false" outlineLevel="0" collapsed="false">
      <c r="B14" s="8" t="s">
        <v>41</v>
      </c>
      <c r="C14" s="9" t="s">
        <v>42</v>
      </c>
      <c r="D14" s="10" t="n">
        <v>2.5</v>
      </c>
      <c r="E14" s="10" t="n">
        <v>600</v>
      </c>
      <c r="F14" s="10" t="n">
        <f aca="false">D14*E14</f>
        <v>1500</v>
      </c>
    </row>
    <row r="15" customFormat="false" ht="15" hidden="false" customHeight="false" outlineLevel="0" collapsed="false">
      <c r="B15" s="3" t="s">
        <v>41</v>
      </c>
      <c r="C15" s="4" t="s">
        <v>43</v>
      </c>
      <c r="D15" s="5" t="n">
        <v>8</v>
      </c>
      <c r="E15" s="5" t="n">
        <v>600</v>
      </c>
      <c r="F15" s="5" t="n">
        <f aca="false">D15*E15</f>
        <v>4800</v>
      </c>
      <c r="H15" s="1" t="s">
        <v>44</v>
      </c>
      <c r="I15" s="1"/>
      <c r="J15" s="1"/>
      <c r="K15" s="1"/>
    </row>
    <row r="16" customFormat="false" ht="24.4" hidden="false" customHeight="false" outlineLevel="0" collapsed="false">
      <c r="B16" s="8" t="s">
        <v>41</v>
      </c>
      <c r="C16" s="9" t="s">
        <v>45</v>
      </c>
      <c r="D16" s="10" t="n">
        <v>7</v>
      </c>
      <c r="E16" s="10" t="n">
        <v>600</v>
      </c>
      <c r="F16" s="10" t="n">
        <f aca="false">D16*E16</f>
        <v>4200</v>
      </c>
      <c r="H16" s="2" t="s">
        <v>7</v>
      </c>
      <c r="I16" s="15" t="s">
        <v>8</v>
      </c>
      <c r="J16" s="15"/>
      <c r="K16" s="2" t="s">
        <v>10</v>
      </c>
    </row>
    <row r="17" customFormat="false" ht="12.85" hidden="false" customHeight="true" outlineLevel="0" collapsed="false">
      <c r="B17" s="3" t="s">
        <v>41</v>
      </c>
      <c r="C17" s="4" t="s">
        <v>46</v>
      </c>
      <c r="D17" s="5" t="n">
        <v>5.25</v>
      </c>
      <c r="E17" s="5" t="n">
        <v>600</v>
      </c>
      <c r="F17" s="5" t="n">
        <f aca="false">D17*E17</f>
        <v>3150</v>
      </c>
      <c r="H17" s="8" t="s">
        <v>27</v>
      </c>
      <c r="I17" s="9" t="s">
        <v>47</v>
      </c>
      <c r="J17" s="9"/>
      <c r="K17" s="12" t="n">
        <v>40</v>
      </c>
    </row>
    <row r="18" customFormat="false" ht="12.85" hidden="false" customHeight="true" outlineLevel="0" collapsed="false">
      <c r="B18" s="8" t="s">
        <v>48</v>
      </c>
      <c r="C18" s="9" t="s">
        <v>49</v>
      </c>
      <c r="D18" s="10" t="n">
        <v>2.5</v>
      </c>
      <c r="E18" s="10" t="n">
        <v>600</v>
      </c>
      <c r="F18" s="10" t="n">
        <f aca="false">D18*E18</f>
        <v>1500</v>
      </c>
      <c r="H18" s="4" t="s">
        <v>13</v>
      </c>
      <c r="I18" s="4" t="s">
        <v>20</v>
      </c>
      <c r="J18" s="4"/>
      <c r="K18" s="7" t="n">
        <v>30</v>
      </c>
    </row>
    <row r="19" customFormat="false" ht="12.85" hidden="false" customHeight="true" outlineLevel="0" collapsed="false">
      <c r="B19" s="3" t="s">
        <v>48</v>
      </c>
      <c r="C19" s="4" t="s">
        <v>50</v>
      </c>
      <c r="D19" s="5" t="n">
        <v>3</v>
      </c>
      <c r="E19" s="5" t="n">
        <v>600</v>
      </c>
      <c r="F19" s="5" t="n">
        <f aca="false">D19*E19</f>
        <v>1800</v>
      </c>
      <c r="H19" s="8" t="s">
        <v>13</v>
      </c>
      <c r="I19" s="9" t="s">
        <v>23</v>
      </c>
      <c r="J19" s="9"/>
      <c r="K19" s="12" t="n">
        <v>25</v>
      </c>
    </row>
    <row r="20" customFormat="false" ht="24.4" hidden="false" customHeight="true" outlineLevel="0" collapsed="false">
      <c r="B20" s="8" t="s">
        <v>48</v>
      </c>
      <c r="C20" s="9" t="s">
        <v>51</v>
      </c>
      <c r="D20" s="10" t="n">
        <v>4.5</v>
      </c>
      <c r="E20" s="10" t="n">
        <v>600</v>
      </c>
      <c r="F20" s="10" t="n">
        <f aca="false">D20*E20</f>
        <v>2700</v>
      </c>
      <c r="H20" s="4" t="s">
        <v>27</v>
      </c>
      <c r="I20" s="4" t="s">
        <v>28</v>
      </c>
      <c r="J20" s="4"/>
      <c r="K20" s="7" t="n">
        <v>0</v>
      </c>
    </row>
    <row r="21" customFormat="false" ht="12.85" hidden="false" customHeight="false" outlineLevel="0" collapsed="false">
      <c r="B21" s="3" t="s">
        <v>48</v>
      </c>
      <c r="C21" s="4" t="s">
        <v>52</v>
      </c>
      <c r="D21" s="5" t="n">
        <v>4.5</v>
      </c>
      <c r="E21" s="5" t="n">
        <v>600</v>
      </c>
      <c r="F21" s="5" t="n">
        <f aca="false">D21*E21</f>
        <v>2700</v>
      </c>
      <c r="H21" s="13" t="s">
        <v>38</v>
      </c>
      <c r="I21" s="13"/>
      <c r="J21" s="13"/>
      <c r="K21" s="14" t="n">
        <f aca="false">SUM(K17:K20)</f>
        <v>95</v>
      </c>
    </row>
    <row r="22" customFormat="false" ht="12.8" hidden="false" customHeight="false" outlineLevel="0" collapsed="false">
      <c r="B22" s="13" t="s">
        <v>53</v>
      </c>
      <c r="C22" s="13"/>
      <c r="D22" s="16" t="n">
        <f aca="false">SUM(D5:D21)</f>
        <v>72.75</v>
      </c>
      <c r="E22" s="14" t="n">
        <f aca="false">AVERAGE(E5:E21)</f>
        <v>600</v>
      </c>
      <c r="F22" s="14" t="n">
        <f aca="false">SUM(F5:F21)</f>
        <v>43650</v>
      </c>
      <c r="H22" s="13" t="s">
        <v>40</v>
      </c>
      <c r="I22" s="13"/>
      <c r="J22" s="13"/>
      <c r="K22" s="14" t="n">
        <f aca="false">K21*12</f>
        <v>1140</v>
      </c>
    </row>
  </sheetData>
  <mergeCells count="13">
    <mergeCell ref="B3:F3"/>
    <mergeCell ref="H3:K3"/>
    <mergeCell ref="H12:J12"/>
    <mergeCell ref="H13:J13"/>
    <mergeCell ref="H15:K15"/>
    <mergeCell ref="I16:J16"/>
    <mergeCell ref="I17:J17"/>
    <mergeCell ref="I18:J18"/>
    <mergeCell ref="I19:J19"/>
    <mergeCell ref="I20:J20"/>
    <mergeCell ref="H21:J21"/>
    <mergeCell ref="B22:C22"/>
    <mergeCell ref="H22:J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2026-02-20T11:58:07Z</dcterms:created>
  <dc:creator/>
  <dc:description/>
  <dc:language>en-US</dc:language>
  <cp:lastModifiedBy/>
  <dcterms:modified xsi:type="dcterms:W3CDTF">2026-02-20T18:53:00Z</dcterms:modified>
  <cp:revision>1</cp:revision>
  <dc:subject/>
  <dc:title/>
</cp:coreProperties>
</file>