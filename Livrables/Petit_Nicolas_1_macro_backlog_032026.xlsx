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<sst xmlns="http://schemas.openxmlformats.org/spreadsheetml/2006/main" count="96" uniqueCount="68">
  <si>
    <t xml:space="preserve">Macro Backlog des fonctionnalités (Chatbot MVP)</t>
  </si>
  <si>
    <t xml:space="preserve">Partie</t>
  </si>
  <si>
    <t xml:space="preserve">Sous tâche</t>
  </si>
  <si>
    <t xml:space="preserve">Description courte</t>
  </si>
  <si>
    <t xml:space="preserve">Estimation Basse (j)</t>
  </si>
  <si>
    <t xml:space="preserve">Indice de complexité (0→5)</t>
  </si>
  <si>
    <t xml:space="preserve">Estimation Haute (j)</t>
  </si>
  <si>
    <t xml:space="preserve">Détail de la complexité</t>
  </si>
  <si>
    <t xml:space="preserve">Priorité</t>
  </si>
  <si>
    <t xml:space="preserve">1. Mémoire conversationnelle</t>
  </si>
  <si>
    <t xml:space="preserve">Définition des données à mémoriser</t>
  </si>
  <si>
    <t xml:space="preserve">L’idée est de faire en sorte de définir les données importantes à stocker et ne pas surcharger d’informations inutiles. (Exemple : Localisation, type d’activités, etc.)</t>
  </si>
  <si>
    <t xml:space="preserve">Arbitrage fonctionnel entre pertinence et volume de données, nécessite alignement produit mais peu de complexité technique</t>
  </si>
  <si>
    <t xml:space="preserve">Must have</t>
  </si>
  <si>
    <t xml:space="preserve">Mise en place du stockage de la mémoire utilisateur et exploitation de la mémoire dans les réponses du chatbot</t>
  </si>
  <si>
    <t xml:space="preserve">Ici, l’idée est de définir l’environnement de stockage des données utilisateurs et faire en sorte que le chatbot puisse venir chercher les données liées à un utilisateur</t>
  </si>
  <si>
    <t xml:space="preserve">Choix du mode de stockage (session, DB, cache), intégration au flux conversationnel, gestion des accès par utilisateur</t>
  </si>
  <si>
    <t xml:space="preserve">
Gestion du cycle de vie de la mémoire</t>
  </si>
  <si>
    <t xml:space="preserve">Définir un cycle de vie de la mémoire utilisateur, en fonction de différents critères (récurrence de l’utilisation de l’outil, cadre exceptionnel d’une demande, etc.)</t>
  </si>
  <si>
    <t xml:space="preserve">Définition de règles métier (expiration, mise à jour), logique conditionnelle selon les usages</t>
  </si>
  <si>
    <t xml:space="preserve">Nice to have</t>
  </si>
  <si>
    <t xml:space="preserve">Gestion du consentement et respect RGPD</t>
  </si>
  <si>
    <t xml:space="preserve">Faire en sorte de prévenir l’utilisateur avant l’utilisation du chatbot des données personnelles qui seront utilisées dans le cadre de l’utilisation de celui-ci et lui donner la possibilité de ne pas accepter</t>
  </si>
  <si>
    <t xml:space="preserve">Mise en conformité légale, gestion des opt-in / opt-out, impact sur les flux fonctionnels</t>
  </si>
  <si>
    <t xml:space="preserve">2. Contexte Géographique</t>
  </si>
  <si>
    <t xml:space="preserve">Demande d’autorisation d’accès à la localisation utilisateur</t>
  </si>
  <si>
    <t xml:space="preserve">À l’image de la validation de l’utilisation des données, il faut aussi demander la validation de l’utilisation de la géolocalisation de l’utilisateur</t>
  </si>
  <si>
    <t xml:space="preserve">Logique UX simple mais dépendante du contexte d’exécution (web, mobile, navigateur)</t>
  </si>
  <si>
    <t xml:space="preserve">Récupération et normalisation des données de géolocalisation</t>
  </si>
  <si>
    <t xml:space="preserve">Faire en sorte de récupérer la géolocalisation de l’utilisateur (si accepté) et normaliser les données pour faciliter l’utilisation</t>
  </si>
  <si>
    <t xml:space="preserve">Gestion des formats (coordonnées, ville, code postal), précision variable selon les appareils</t>
  </si>
  <si>
    <t xml:space="preserve">Transmission du contexte géographique au chatbot</t>
  </si>
  <si>
    <t xml:space="preserve">Une fois les données de géolocalisation normalisées, les transmettre au chatbot</t>
  </si>
  <si>
    <t xml:space="preserve">Ajout de paramètres contextuels au pipeline conversationnel</t>
  </si>
  <si>
    <t xml:space="preserve">Filtrage et priorisation des événements selon la localisation</t>
  </si>
  <si>
    <t xml:space="preserve">Prise en compte du contexte géographique lors de la demande de l’utilisateur</t>
  </si>
  <si>
    <t xml:space="preserve">Logique métier non triviale (rayon, pertinence, densité d’événements)</t>
  </si>
  <si>
    <t xml:space="preserve">Gestion des cas sans localisation</t>
  </si>
  <si>
    <t xml:space="preserve">Si un utilisateur ne souhaite pas être géolocalisé, il peut quand même utiliser l’outil mais le chatbot doit lui demander des précisions sur la localisation de sa recherche</t>
  </si>
  <si>
    <t xml:space="preserve">Cas fonctionnels alternatifs, peu de complexité technique</t>
  </si>
  <si>
    <t xml:space="preserve">3. Recherche Web</t>
  </si>
  <si>
    <t xml:space="preserve">Définition des besoins d’enrichissement</t>
  </si>
  <si>
    <t xml:space="preserve">Faire comprendre au chatbot qu’en cas d’informations manquantes ou de demandes précises de l’utilisateur, qu’il recherche directement sur le web</t>
  </si>
  <si>
    <t xml:space="preserve">Travail d’analyse fonctionnelle et de cadrage</t>
  </si>
  <si>
    <t xml:space="preserve">Intégration d’un module de recherche web</t>
  </si>
  <si>
    <t xml:space="preserve">Faire en sorte d’intégrer la recherche web au chatbot (ex : smolagents sur HuggingFace). Bien penser à tester le format de la donnée récupérée afin de vérifier son intégration direct via le chatbot</t>
  </si>
  <si>
    <t xml:space="preserve">Dépendance à des librairies externes, gestion des formats, instabilité potentielle</t>
  </si>
  <si>
    <t xml:space="preserve">Mise en relation des données OpenAgenda et web</t>
  </si>
  <si>
    <t xml:space="preserve">Faire concorder les informations récupérées sur le Web et via l’API OpenAgenda pour éviter les incohérences ou de communiquer de fausses informations aux utilisateurs</t>
  </si>
  <si>
    <t xml:space="preserve">Résolution d’incohérences, priorisation des sources, risques de données contradictoires</t>
  </si>
  <si>
    <t xml:space="preserve">Gestion des limites et performances</t>
  </si>
  <si>
    <t xml:space="preserve">Créer des gardes-fou pour éviter de trop solliciter le chatbot et causer des problèmes de performance. (ex : Relancer la requête, optimiser, etc.)</t>
  </si>
  <si>
    <t xml:space="preserve">Gestion des quotas, latence, stratégies de fallback et optimisation</t>
  </si>
  <si>
    <t xml:space="preserve">4. Monitoring</t>
  </si>
  <si>
    <t xml:space="preserve">Définition des KPI</t>
  </si>
  <si>
    <t xml:space="preserve">Définir des KPI précis à visualiser. Les différentes thématiques visées par ces KPI sont : L’amélioration continue de l’outil, la performance de l’outil (configuration hébergeur, temps de réponse, etc.), satisfaction utilisateur</t>
  </si>
  <si>
    <t xml:space="preserve">Travail de réflexion métier, faible complexité technique</t>
  </si>
  <si>
    <t xml:space="preserve">Mise en place de la collecte d’informations</t>
  </si>
  <si>
    <t xml:space="preserve">Créer un formulaire pour demander l’avis des utilisateurs sur l’outil afin de récupérer des axes d’améliorations et d’utiliser les avis pour communiquer sur l’outil</t>
  </si>
  <si>
    <t xml:space="preserve">Intégration d’un formulaire, stockage, lien avec les usages</t>
  </si>
  <si>
    <t xml:space="preserve">Installation et configuration de prometheus et grafana</t>
  </si>
  <si>
    <t xml:space="preserve">Installation et configuration de prometheus et grafana. Définition des métriques à récupérer et des endpoints dédiés dans prometheus</t>
  </si>
  <si>
    <t xml:space="preserve">Configuration technique standard mais nécessite de la rigueur</t>
  </si>
  <si>
    <t xml:space="preserve">Construction des dashboards et alertes</t>
  </si>
  <si>
    <t xml:space="preserve">Construire les dashboards à l’aide des endpoints renseignés dans prometheus et création d’alertes pour informer sur de potentiels problèmes</t>
  </si>
  <si>
    <t xml:space="preserve">Traduction des métriques en visualisations exploitables</t>
  </si>
  <si>
    <t xml:space="preserve">TOTAL</t>
  </si>
  <si>
    <t xml:space="preserve">Cette colonne décrit les principaux facteurs d’incertitude et de risque (fonctionnels, techniques, réglementaires ou liés aux dépendances externes) justifiant l’indice de complexité associé à chaque sous-tâche.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</si>
</sst>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.00\ %"/>
    <numFmt numFmtId="166" formatCode="General"/>
    <numFmt numFmtId="167" formatCode="0.00"/>
  </numFmts>
  <fonts count="6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name val="Arial"/>
      <family val="2"/>
      <charset val="1"/>
    </font>
    <font>
      <b val="true"/>
      <i val="true"/>
      <sz val="10"/>
      <name val="Arial"/>
      <family val="2"/>
      <charset val="1"/>
    </font>
  </fonts>
  <fills count="6">
    <fill>
      <patternFill patternType="none"/>
    </fill>
    <fill>
      <patternFill patternType="gray125"/>
    </fill>
    <fill>
      <patternFill patternType="solid">
        <fgColor rgb="FF3949AB"/>
        <bgColor rgb="FF666699"/>
      </patternFill>
    </fill>
    <fill>
      <patternFill patternType="solid">
        <fgColor rgb="FF9FA8DA"/>
        <bgColor rgb="FF969696"/>
      </patternFill>
    </fill>
    <fill>
      <patternFill patternType="solid">
        <fgColor rgb="FFC5CAE9"/>
        <bgColor rgb="FFC0C0C0"/>
      </patternFill>
    </fill>
    <fill>
      <patternFill patternType="solid">
        <fgColor rgb="FFE8EAF6"/>
        <bgColor rgb="FFCC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true" applyBorder="false" applyAlignment="true" applyProtection="true">
      <alignment horizontal="general" vertical="top" textRotation="0" wrapText="false" indent="0" shrinkToFit="false"/>
      <protection locked="true" hidden="false"/>
    </xf>
    <xf numFmtId="164" fontId="0" fillId="4" borderId="0" xfId="0" applyFont="true" applyBorder="false" applyAlignment="true" applyProtection="true">
      <alignment horizontal="general" vertical="top" textRotation="0" wrapText="true" indent="0" shrinkToFit="false"/>
      <protection locked="true" hidden="false"/>
    </xf>
    <xf numFmtId="164" fontId="0" fillId="4" borderId="0" xfId="0" applyFont="fals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0" fillId="4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0" xfId="0" applyFont="true" applyBorder="false" applyAlignment="true" applyProtection="true">
      <alignment horizontal="general" vertical="top" textRotation="0" wrapText="false" indent="0" shrinkToFit="false"/>
      <protection locked="true" hidden="false"/>
    </xf>
    <xf numFmtId="164" fontId="0" fillId="5" borderId="0" xfId="0" applyFont="true" applyBorder="false" applyAlignment="true" applyProtection="true">
      <alignment horizontal="general" vertical="top" textRotation="0" wrapText="true" indent="0" shrinkToFit="false"/>
      <protection locked="true" hidden="false"/>
    </xf>
    <xf numFmtId="164" fontId="0" fillId="5" borderId="0" xfId="0" applyFont="fals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0" fillId="5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3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5" fillId="3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7" fontId="5" fillId="3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0" fillId="3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E8EAF6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FA8DA"/>
      <rgbColor rgb="FF993366"/>
      <rgbColor rgb="FFFFFFCC"/>
      <rgbColor rgb="FFCCFFFF"/>
      <rgbColor rgb="FF660066"/>
      <rgbColor rgb="FFFF8080"/>
      <rgbColor rgb="FF0066CC"/>
      <rgbColor rgb="FFC5CAE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949AB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B2:K2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G21" activeCellId="0" sqref="G21"/>
    </sheetView>
  </sheetViews>
  <sheetFormatPr defaultColWidth="11.58984375" defaultRowHeight="12.8" zeroHeight="false" outlineLevelRow="0" outlineLevelCol="0"/>
  <cols>
    <col collapsed="false" customWidth="true" hidden="false" outlineLevel="0" max="2" min="2" style="1" width="25.97"/>
    <col collapsed="false" customWidth="true" hidden="false" outlineLevel="0" max="3" min="3" style="1" width="43.25"/>
    <col collapsed="false" customWidth="true" hidden="false" outlineLevel="0" max="4" min="4" style="1" width="53.65"/>
    <col collapsed="false" customWidth="true" hidden="false" outlineLevel="0" max="5" min="5" style="1" width="19.22"/>
    <col collapsed="false" customWidth="true" hidden="false" outlineLevel="0" max="6" min="6" style="1" width="25.54"/>
    <col collapsed="false" customWidth="true" hidden="false" outlineLevel="0" max="7" min="7" style="1" width="18.2"/>
    <col collapsed="false" customWidth="true" hidden="false" outlineLevel="0" max="8" min="8" style="0" width="34.78"/>
    <col collapsed="false" customWidth="false" hidden="true" outlineLevel="0" max="11" min="10" style="1" width="11.53"/>
  </cols>
  <sheetData>
    <row r="2" customFormat="false" ht="15" hidden="false" customHeight="false" outlineLevel="0" collapsed="false">
      <c r="B2" s="2" t="s">
        <v>0</v>
      </c>
      <c r="C2" s="2"/>
      <c r="D2" s="2"/>
      <c r="E2" s="2"/>
      <c r="F2" s="2"/>
      <c r="G2" s="2"/>
      <c r="H2" s="2"/>
      <c r="I2" s="2"/>
    </row>
    <row r="3" customFormat="false" ht="18.95" hidden="false" customHeight="true" outlineLevel="0" collapsed="false">
      <c r="B3" s="3" t="s">
        <v>1</v>
      </c>
      <c r="C3" s="3" t="s">
        <v>2</v>
      </c>
      <c r="D3" s="3" t="s">
        <v>3</v>
      </c>
      <c r="E3" s="3" t="s">
        <v>4</v>
      </c>
      <c r="F3" s="3" t="s">
        <v>5</v>
      </c>
      <c r="G3" s="3" t="s">
        <v>6</v>
      </c>
      <c r="H3" s="4" t="s">
        <v>7</v>
      </c>
      <c r="I3" s="4" t="s">
        <v>8</v>
      </c>
    </row>
    <row r="4" customFormat="false" ht="47.45" hidden="false" customHeight="false" outlineLevel="0" collapsed="false">
      <c r="B4" s="5" t="s">
        <v>9</v>
      </c>
      <c r="C4" s="6" t="s">
        <v>10</v>
      </c>
      <c r="D4" s="6" t="s">
        <v>11</v>
      </c>
      <c r="E4" s="7" t="n">
        <v>2</v>
      </c>
      <c r="F4" s="7" t="n">
        <v>2</v>
      </c>
      <c r="G4" s="7" t="n">
        <f aca="false">E4*(1+VLOOKUP(F4,$J$4:$K$8,2,0))</f>
        <v>2.5</v>
      </c>
      <c r="H4" s="8" t="s">
        <v>12</v>
      </c>
      <c r="I4" s="8" t="s">
        <v>13</v>
      </c>
      <c r="J4" s="1" t="n">
        <v>0</v>
      </c>
      <c r="K4" s="9" t="n">
        <v>0</v>
      </c>
    </row>
    <row r="5" customFormat="false" ht="47.45" hidden="false" customHeight="false" outlineLevel="0" collapsed="false">
      <c r="B5" s="10" t="s">
        <v>9</v>
      </c>
      <c r="C5" s="11" t="s">
        <v>14</v>
      </c>
      <c r="D5" s="11" t="s">
        <v>15</v>
      </c>
      <c r="E5" s="12" t="n">
        <v>5</v>
      </c>
      <c r="F5" s="12" t="n">
        <v>4</v>
      </c>
      <c r="G5" s="12" t="n">
        <f aca="false">E5*(1+VLOOKUP(F5,$J$4:$K$8,2,0))</f>
        <v>8.75</v>
      </c>
      <c r="H5" s="13" t="s">
        <v>16</v>
      </c>
      <c r="I5" s="13" t="s">
        <v>13</v>
      </c>
      <c r="J5" s="1" t="n">
        <v>2</v>
      </c>
      <c r="K5" s="9" t="n">
        <v>0.25</v>
      </c>
    </row>
    <row r="6" customFormat="false" ht="35.95" hidden="false" customHeight="false" outlineLevel="0" collapsed="false">
      <c r="B6" s="5" t="s">
        <v>9</v>
      </c>
      <c r="C6" s="6" t="s">
        <v>17</v>
      </c>
      <c r="D6" s="6" t="s">
        <v>18</v>
      </c>
      <c r="E6" s="7" t="n">
        <v>3</v>
      </c>
      <c r="F6" s="7" t="n">
        <v>3</v>
      </c>
      <c r="G6" s="7" t="n">
        <f aca="false">E6*(1+VLOOKUP(F6,$J$4:$K$8,2,0))</f>
        <v>4.5</v>
      </c>
      <c r="H6" s="8" t="s">
        <v>19</v>
      </c>
      <c r="I6" s="8" t="s">
        <v>20</v>
      </c>
      <c r="J6" s="1" t="n">
        <v>3</v>
      </c>
      <c r="K6" s="9" t="n">
        <v>0.5</v>
      </c>
    </row>
    <row r="7" customFormat="false" ht="47.45" hidden="false" customHeight="false" outlineLevel="0" collapsed="false">
      <c r="B7" s="10" t="s">
        <v>9</v>
      </c>
      <c r="C7" s="11" t="s">
        <v>21</v>
      </c>
      <c r="D7" s="11" t="s">
        <v>22</v>
      </c>
      <c r="E7" s="12" t="n">
        <v>3</v>
      </c>
      <c r="F7" s="12" t="n">
        <v>3</v>
      </c>
      <c r="G7" s="12" t="n">
        <f aca="false">E7*(1+VLOOKUP(F7,$J$4:$K$8,2,0))</f>
        <v>4.5</v>
      </c>
      <c r="H7" s="13" t="s">
        <v>23</v>
      </c>
      <c r="I7" s="13" t="s">
        <v>13</v>
      </c>
      <c r="J7" s="1" t="n">
        <v>4</v>
      </c>
      <c r="K7" s="9" t="n">
        <v>0.75</v>
      </c>
    </row>
    <row r="8" customFormat="false" ht="35.05" hidden="false" customHeight="false" outlineLevel="0" collapsed="false">
      <c r="B8" s="5" t="s">
        <v>24</v>
      </c>
      <c r="C8" s="6" t="s">
        <v>25</v>
      </c>
      <c r="D8" s="6" t="s">
        <v>26</v>
      </c>
      <c r="E8" s="7" t="n">
        <v>1</v>
      </c>
      <c r="F8" s="7" t="n">
        <v>2</v>
      </c>
      <c r="G8" s="7" t="n">
        <f aca="false">E8*(1+VLOOKUP(F8,$J$4:$K$8,2,0))</f>
        <v>1.25</v>
      </c>
      <c r="H8" s="8" t="s">
        <v>27</v>
      </c>
      <c r="I8" s="8" t="s">
        <v>13</v>
      </c>
      <c r="J8" s="1" t="n">
        <v>5</v>
      </c>
      <c r="K8" s="9" t="n">
        <v>1</v>
      </c>
    </row>
    <row r="9" customFormat="false" ht="35.05" hidden="false" customHeight="false" outlineLevel="0" collapsed="false">
      <c r="B9" s="10" t="s">
        <v>24</v>
      </c>
      <c r="C9" s="11" t="s">
        <v>28</v>
      </c>
      <c r="D9" s="11" t="s">
        <v>29</v>
      </c>
      <c r="E9" s="12" t="n">
        <v>2</v>
      </c>
      <c r="F9" s="12" t="n">
        <v>3</v>
      </c>
      <c r="G9" s="12" t="n">
        <f aca="false">E9*(1+VLOOKUP(F9,$J$4:$K$8,2,0))</f>
        <v>3</v>
      </c>
      <c r="H9" s="13" t="s">
        <v>30</v>
      </c>
      <c r="I9" s="13" t="s">
        <v>13</v>
      </c>
    </row>
    <row r="10" customFormat="false" ht="23.85" hidden="false" customHeight="false" outlineLevel="0" collapsed="false">
      <c r="B10" s="5" t="s">
        <v>24</v>
      </c>
      <c r="C10" s="6" t="s">
        <v>31</v>
      </c>
      <c r="D10" s="6" t="s">
        <v>32</v>
      </c>
      <c r="E10" s="7" t="n">
        <v>2</v>
      </c>
      <c r="F10" s="7" t="n">
        <v>2</v>
      </c>
      <c r="G10" s="7" t="n">
        <f aca="false">E10*(1+VLOOKUP(F10,$J$4:$K$8,2,0))</f>
        <v>2.5</v>
      </c>
      <c r="H10" s="8" t="s">
        <v>33</v>
      </c>
      <c r="I10" s="8" t="s">
        <v>13</v>
      </c>
    </row>
    <row r="11" customFormat="false" ht="23.85" hidden="false" customHeight="false" outlineLevel="0" collapsed="false">
      <c r="B11" s="10" t="s">
        <v>24</v>
      </c>
      <c r="C11" s="11" t="s">
        <v>34</v>
      </c>
      <c r="D11" s="11" t="s">
        <v>35</v>
      </c>
      <c r="E11" s="12" t="n">
        <v>4</v>
      </c>
      <c r="F11" s="12" t="n">
        <v>3</v>
      </c>
      <c r="G11" s="12" t="n">
        <f aca="false">E11*(1+VLOOKUP(F11,$J$4:$K$8,2,0))</f>
        <v>6</v>
      </c>
      <c r="H11" s="13" t="s">
        <v>36</v>
      </c>
      <c r="I11" s="13" t="s">
        <v>13</v>
      </c>
    </row>
    <row r="12" customFormat="false" ht="35.05" hidden="false" customHeight="false" outlineLevel="0" collapsed="false">
      <c r="B12" s="5" t="s">
        <v>24</v>
      </c>
      <c r="C12" s="6" t="s">
        <v>37</v>
      </c>
      <c r="D12" s="6" t="s">
        <v>38</v>
      </c>
      <c r="E12" s="7" t="n">
        <v>2</v>
      </c>
      <c r="F12" s="7" t="n">
        <v>2</v>
      </c>
      <c r="G12" s="7" t="n">
        <f aca="false">E12*(1+VLOOKUP(F12,$J$4:$K$8,2,0))</f>
        <v>2.5</v>
      </c>
      <c r="H12" s="8" t="s">
        <v>39</v>
      </c>
      <c r="I12" s="8" t="s">
        <v>13</v>
      </c>
    </row>
    <row r="13" customFormat="false" ht="35.05" hidden="false" customHeight="false" outlineLevel="0" collapsed="false">
      <c r="B13" s="10" t="s">
        <v>40</v>
      </c>
      <c r="C13" s="11" t="s">
        <v>41</v>
      </c>
      <c r="D13" s="11" t="s">
        <v>42</v>
      </c>
      <c r="E13" s="12" t="n">
        <v>2</v>
      </c>
      <c r="F13" s="12" t="n">
        <v>2</v>
      </c>
      <c r="G13" s="12" t="n">
        <f aca="false">E13*(1+VLOOKUP(F13,$J$4:$K$8,2,0))</f>
        <v>2.5</v>
      </c>
      <c r="H13" s="13" t="s">
        <v>43</v>
      </c>
      <c r="I13" s="13" t="s">
        <v>13</v>
      </c>
    </row>
    <row r="14" customFormat="false" ht="47.45" hidden="false" customHeight="false" outlineLevel="0" collapsed="false">
      <c r="B14" s="5" t="s">
        <v>40</v>
      </c>
      <c r="C14" s="6" t="s">
        <v>44</v>
      </c>
      <c r="D14" s="6" t="s">
        <v>45</v>
      </c>
      <c r="E14" s="7" t="n">
        <v>4</v>
      </c>
      <c r="F14" s="7" t="n">
        <v>5</v>
      </c>
      <c r="G14" s="7" t="n">
        <f aca="false">E14*(1+VLOOKUP(F14,$J$4:$K$8,2,0))</f>
        <v>8</v>
      </c>
      <c r="H14" s="8" t="s">
        <v>46</v>
      </c>
      <c r="I14" s="8" t="s">
        <v>13</v>
      </c>
    </row>
    <row r="15" customFormat="false" ht="35.05" hidden="false" customHeight="false" outlineLevel="0" collapsed="false">
      <c r="B15" s="10" t="s">
        <v>40</v>
      </c>
      <c r="C15" s="11" t="s">
        <v>47</v>
      </c>
      <c r="D15" s="11" t="s">
        <v>48</v>
      </c>
      <c r="E15" s="12" t="n">
        <v>4</v>
      </c>
      <c r="F15" s="12" t="n">
        <v>4</v>
      </c>
      <c r="G15" s="12" t="n">
        <f aca="false">E15*(1+VLOOKUP(F15,$J$4:$K$8,2,0))</f>
        <v>7</v>
      </c>
      <c r="H15" s="13" t="s">
        <v>49</v>
      </c>
      <c r="I15" s="13" t="s">
        <v>20</v>
      </c>
    </row>
    <row r="16" customFormat="false" ht="35.05" hidden="false" customHeight="false" outlineLevel="0" collapsed="false">
      <c r="B16" s="5" t="s">
        <v>40</v>
      </c>
      <c r="C16" s="6" t="s">
        <v>50</v>
      </c>
      <c r="D16" s="6" t="s">
        <v>51</v>
      </c>
      <c r="E16" s="7" t="n">
        <v>3</v>
      </c>
      <c r="F16" s="7" t="n">
        <v>4</v>
      </c>
      <c r="G16" s="7" t="n">
        <f aca="false">E16*(1+VLOOKUP(F16,$J$4:$K$8,2,0))</f>
        <v>5.25</v>
      </c>
      <c r="H16" s="8" t="s">
        <v>52</v>
      </c>
      <c r="I16" s="8" t="s">
        <v>13</v>
      </c>
    </row>
    <row r="17" customFormat="false" ht="47.45" hidden="false" customHeight="false" outlineLevel="0" collapsed="false">
      <c r="B17" s="10" t="s">
        <v>53</v>
      </c>
      <c r="C17" s="11" t="s">
        <v>54</v>
      </c>
      <c r="D17" s="11" t="s">
        <v>55</v>
      </c>
      <c r="E17" s="12" t="n">
        <v>2</v>
      </c>
      <c r="F17" s="12" t="n">
        <v>2</v>
      </c>
      <c r="G17" s="12" t="n">
        <f aca="false">E17*(1+VLOOKUP(F17,$J$4:$K$8,2,0))</f>
        <v>2.5</v>
      </c>
      <c r="H17" s="13" t="s">
        <v>56</v>
      </c>
      <c r="I17" s="13" t="s">
        <v>13</v>
      </c>
    </row>
    <row r="18" customFormat="false" ht="35.05" hidden="false" customHeight="false" outlineLevel="0" collapsed="false">
      <c r="B18" s="5" t="s">
        <v>53</v>
      </c>
      <c r="C18" s="6" t="s">
        <v>57</v>
      </c>
      <c r="D18" s="6" t="s">
        <v>58</v>
      </c>
      <c r="E18" s="7" t="n">
        <v>2</v>
      </c>
      <c r="F18" s="7" t="n">
        <v>3</v>
      </c>
      <c r="G18" s="7" t="n">
        <f aca="false">E18*(1+VLOOKUP(F18,$J$4:$K$8,2,0))</f>
        <v>3</v>
      </c>
      <c r="H18" s="8" t="s">
        <v>59</v>
      </c>
      <c r="I18" s="8" t="s">
        <v>20</v>
      </c>
    </row>
    <row r="19" customFormat="false" ht="35.05" hidden="false" customHeight="false" outlineLevel="0" collapsed="false">
      <c r="B19" s="10" t="s">
        <v>53</v>
      </c>
      <c r="C19" s="11" t="s">
        <v>60</v>
      </c>
      <c r="D19" s="11" t="s">
        <v>61</v>
      </c>
      <c r="E19" s="12" t="n">
        <v>3</v>
      </c>
      <c r="F19" s="12" t="n">
        <v>3</v>
      </c>
      <c r="G19" s="12" t="n">
        <f aca="false">E19*(1+VLOOKUP(F19,$J$4:$K$8,2,0))</f>
        <v>4.5</v>
      </c>
      <c r="H19" s="13" t="s">
        <v>62</v>
      </c>
      <c r="I19" s="13" t="s">
        <v>13</v>
      </c>
    </row>
    <row r="20" customFormat="false" ht="35.05" hidden="false" customHeight="false" outlineLevel="0" collapsed="false">
      <c r="B20" s="5" t="s">
        <v>53</v>
      </c>
      <c r="C20" s="6" t="s">
        <v>63</v>
      </c>
      <c r="D20" s="6" t="s">
        <v>64</v>
      </c>
      <c r="E20" s="7" t="n">
        <v>3</v>
      </c>
      <c r="F20" s="7" t="n">
        <v>3</v>
      </c>
      <c r="G20" s="7" t="n">
        <f aca="false">E20*(1+VLOOKUP(F20,$J$4:$K$8,2,0))</f>
        <v>4.5</v>
      </c>
      <c r="H20" s="8" t="s">
        <v>65</v>
      </c>
      <c r="I20" s="8" t="s">
        <v>13</v>
      </c>
    </row>
    <row r="21" customFormat="false" ht="70.55" hidden="false" customHeight="false" outlineLevel="0" collapsed="false">
      <c r="B21" s="14" t="s">
        <v>66</v>
      </c>
      <c r="C21" s="14"/>
      <c r="D21" s="14"/>
      <c r="E21" s="15" t="n">
        <f aca="false">SUM(E4:E20)</f>
        <v>47</v>
      </c>
      <c r="F21" s="16" t="n">
        <f aca="false">AVERAGE(F4:F20)</f>
        <v>2.94117647058824</v>
      </c>
      <c r="G21" s="15" t="n">
        <f aca="false">SUM(G4:G20)</f>
        <v>72.75</v>
      </c>
      <c r="H21" s="17" t="s">
        <v>67</v>
      </c>
      <c r="I21" s="17"/>
    </row>
  </sheetData>
  <mergeCells count="2">
    <mergeCell ref="B2:I2"/>
    <mergeCell ref="B21:D21"/>
  </mergeCells>
  <dataValidations count="2">
    <dataValidation allowBlank="false" errorStyle="stop" operator="equal" showDropDown="false" showErrorMessage="true" showInputMessage="false" sqref="F4:F20" type="list">
      <formula1>"0,1,2,3,4,5"</formula1>
      <formula2>0</formula2>
    </dataValidation>
    <dataValidation allowBlank="true" errorStyle="stop" operator="equal" showDropDown="false" showErrorMessage="true" showInputMessage="false" sqref="I4:I20" type="list">
      <formula1>"Must have,Nice to have"</formula1>
      <formula2>0</formula2>
    </dataValidation>
  </dataValidations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479</TotalTime>
  <Application>LibreOffice/7.3.4.2$Windows_X86_64 LibreOffice_project/728fec16bd5f605073805c3c9e7c4212a0120dc5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2026-02-11T10:48:42Z</dcterms:created>
  <dc:creator/>
  <dc:description/>
  <dc:language>fr-FR</dc:language>
  <cp:lastModifiedBy/>
  <dcterms:modified xsi:type="dcterms:W3CDTF">2026-02-28T12:31:59Z</dcterms:modified>
  <cp:revision>7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